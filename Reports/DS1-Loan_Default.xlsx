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PyCharm Files\"/>
    </mc:Choice>
  </mc:AlternateContent>
  <xr:revisionPtr revIDLastSave="0" documentId="13_ncr:1_{349B89CC-C88D-481B-9A0B-CDA0262D1848}" xr6:coauthVersionLast="47" xr6:coauthVersionMax="47" xr10:uidLastSave="{00000000-0000-0000-0000-000000000000}"/>
  <bookViews>
    <workbookView xWindow="-110" yWindow="-110" windowWidth="19420" windowHeight="10300" xr2:uid="{A4A8BD8D-39C5-4DF3-9E3A-19A9A46E0113}"/>
  </bookViews>
  <sheets>
    <sheet name="DS1-Loan_Default" sheetId="1" r:id="rId1"/>
    <sheet name="Plan" sheetId="2" r:id="rId2"/>
    <sheet name="Py Outpu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<sst xmlns="http://schemas.openxmlformats.org/spreadsheetml/2006/main" count="326" uniqueCount="133">
  <si>
    <t>Variable Name</t>
  </si>
  <si>
    <t>Description</t>
  </si>
  <si>
    <t>ID</t>
  </si>
  <si>
    <t>Identifier</t>
  </si>
  <si>
    <t>year</t>
  </si>
  <si>
    <t>loan_limit</t>
  </si>
  <si>
    <t>Gender</t>
  </si>
  <si>
    <t>Categorical</t>
  </si>
  <si>
    <t>approv_in_adv</t>
  </si>
  <si>
    <t>Approved in Advance</t>
  </si>
  <si>
    <t>loan_type</t>
  </si>
  <si>
    <t>loan_purpose</t>
  </si>
  <si>
    <t>Credit_Worthiness</t>
  </si>
  <si>
    <t>l1: low risk, L2: high risk?</t>
  </si>
  <si>
    <t>open_credit</t>
  </si>
  <si>
    <t>revolving credit</t>
  </si>
  <si>
    <t>business_or_commercial</t>
  </si>
  <si>
    <t>nob/c OR b/c</t>
  </si>
  <si>
    <t>loan_amount</t>
  </si>
  <si>
    <t>rate_of_interest</t>
  </si>
  <si>
    <t>Interest_rate_spread</t>
  </si>
  <si>
    <t>Upfront_charges</t>
  </si>
  <si>
    <t>term</t>
  </si>
  <si>
    <t>Neg_ammortization</t>
  </si>
  <si>
    <t>interest_only</t>
  </si>
  <si>
    <t>lump_sum_payment</t>
  </si>
  <si>
    <t>property_value</t>
  </si>
  <si>
    <t>construction_type</t>
  </si>
  <si>
    <t>occupancy_type</t>
  </si>
  <si>
    <t>Secured_by</t>
  </si>
  <si>
    <t>total_units</t>
  </si>
  <si>
    <t>income</t>
  </si>
  <si>
    <t>credit_type</t>
  </si>
  <si>
    <t>Credit_Score</t>
  </si>
  <si>
    <t>co-applicant_credit_type</t>
  </si>
  <si>
    <t>age</t>
  </si>
  <si>
    <t>submission_of_application</t>
  </si>
  <si>
    <t>LTV</t>
  </si>
  <si>
    <t>Region</t>
  </si>
  <si>
    <t>Security_Type</t>
  </si>
  <si>
    <t>Status</t>
  </si>
  <si>
    <t>Target Variable</t>
  </si>
  <si>
    <t>dtir1</t>
  </si>
  <si>
    <t>Drop the attribute/feature entirely</t>
  </si>
  <si>
    <t>Drop the observation with missing values</t>
  </si>
  <si>
    <t>Keep</t>
  </si>
  <si>
    <t>Impute</t>
  </si>
  <si>
    <t>Impute the value (sci-kit has imputer)</t>
  </si>
  <si>
    <t>Handle Missing Values</t>
  </si>
  <si>
    <t>Drop column (no influence on default)</t>
  </si>
  <si>
    <t>Drop column (no variability)</t>
  </si>
  <si>
    <t>Consider dropping because of low variability</t>
  </si>
  <si>
    <t>Not really useful</t>
  </si>
  <si>
    <t>How was the application submitted? To_inst =&gt; directly, not_inst =&gt; through a 3rd party</t>
  </si>
  <si>
    <t>Ensure Numeric Inputs</t>
  </si>
  <si>
    <t>Categorical Variables: Scikit Ordinal encoder</t>
  </si>
  <si>
    <t>Text Variables</t>
  </si>
  <si>
    <t>Ensure Consistent Formatting</t>
  </si>
  <si>
    <t>No outliers/errors</t>
  </si>
  <si>
    <t>Feature Engineering</t>
  </si>
  <si>
    <t>Loan to value ratio-How much of the property’s value is being financed by the loan. A lower LTV represents lower risk since borrower uses more of their own money</t>
  </si>
  <si>
    <t>Drop observations (true values are needed for modelling and therefore cannot be imputed)</t>
  </si>
  <si>
    <t>Debt to Income ratio-How much of a borrower’s income goes toward paying debts. A high DTI Ratio makes the loan harder to repay</t>
  </si>
  <si>
    <t>Retain for reference but do not include when training the model (will confuse the model)</t>
  </si>
  <si>
    <t>Drop column (low variance feature-zero variance provides no discriminative power)</t>
  </si>
  <si>
    <t>Pre-Cleaning Exploration: number of options, prop of missing values, rel frequency, variables, descriptions, correlation with target vars</t>
  </si>
  <si>
    <t>Scaling-ensure similar scaling using standardisation or min max scaling (normalisation), might require outliers to be removed first</t>
  </si>
  <si>
    <t>Feature Type</t>
  </si>
  <si>
    <t>Data Type</t>
  </si>
  <si>
    <t>Basic Info</t>
  </si>
  <si>
    <t>Number of Unique Values</t>
  </si>
  <si>
    <t>% Missing Values</t>
  </si>
  <si>
    <t>Sample Values</t>
  </si>
  <si>
    <t>Pre-Cleaning Diagnostics</t>
  </si>
  <si>
    <t>Cat: Relative Frequency of top categories</t>
  </si>
  <si>
    <t>Relationship to Target</t>
  </si>
  <si>
    <t>Distribution Info</t>
  </si>
  <si>
    <t>Num: Std Deviation</t>
  </si>
  <si>
    <t>Num: Correlation</t>
  </si>
  <si>
    <t>Cat: Grouped Averages</t>
  </si>
  <si>
    <t>Has Missing Values?</t>
  </si>
  <si>
    <t>Num: Outliers present?</t>
  </si>
  <si>
    <t>Num: Min</t>
  </si>
  <si>
    <t>Num: Max</t>
  </si>
  <si>
    <t>Drop Rows Criteria: missingess &lt; 5% ^ variable not critical</t>
  </si>
  <si>
    <t>If we do not drop rows, then we impute</t>
  </si>
  <si>
    <t>Drop Column Criteria: missingness&gt;40%^variable not critical, top category frequency(%) &gt; 95%, SD=0, variable not useful</t>
  </si>
  <si>
    <t>If variable is not too important then use simple imputation</t>
  </si>
  <si>
    <t>If variable is important then use advanced imputation, use missing indicators</t>
  </si>
  <si>
    <t>int64</t>
  </si>
  <si>
    <t>str</t>
  </si>
  <si>
    <t>float64</t>
  </si>
  <si>
    <t>Numerical</t>
  </si>
  <si>
    <t>24890, 24891, 24892, 24893, 24894</t>
  </si>
  <si>
    <t>2019</t>
  </si>
  <si>
    <t>cf, ncf</t>
  </si>
  <si>
    <t>Sex Not Available, Male, Joint, Female</t>
  </si>
  <si>
    <t>nopre, pre</t>
  </si>
  <si>
    <t>type1, type2, type3</t>
  </si>
  <si>
    <t>p1, p4, p3, p2</t>
  </si>
  <si>
    <t>l1, l2</t>
  </si>
  <si>
    <t>nopc, opc</t>
  </si>
  <si>
    <t>nob/c, b/c</t>
  </si>
  <si>
    <t>116500, 206500, 406500, 456500, 696500</t>
  </si>
  <si>
    <t>4.56, 4.25, 4.0, 3.99, 4.5</t>
  </si>
  <si>
    <t>0.2, 0.681, 0.3042, 0.1523, 0.9998</t>
  </si>
  <si>
    <t>595.0, 0.0, 370.0, 5120.0, 5609.88</t>
  </si>
  <si>
    <t>360.0, 300.0, 180.0, 312.0, 144.0</t>
  </si>
  <si>
    <t>not_neg, neg_amm</t>
  </si>
  <si>
    <t>not_int, int_only</t>
  </si>
  <si>
    <t>not_lpsm, lpsm</t>
  </si>
  <si>
    <t>118000.0, 508000.0, 658000.0, 758000.0, 1008000.0</t>
  </si>
  <si>
    <t>sb, mh</t>
  </si>
  <si>
    <t>pr, sr, ir</t>
  </si>
  <si>
    <t>home, land</t>
  </si>
  <si>
    <t>1U, 2U, 3U, 4U</t>
  </si>
  <si>
    <t>1740.0, 4980.0, 9480.0, 11880.0, 10440.0</t>
  </si>
  <si>
    <t>EXP, EQUI, CRIF, CIB</t>
  </si>
  <si>
    <t>758, 552, 834, 587, 602</t>
  </si>
  <si>
    <t>CIB, EXP</t>
  </si>
  <si>
    <t>25-34, 55-64, 35-44, 45-54, 65-74</t>
  </si>
  <si>
    <t>to_inst, not_inst</t>
  </si>
  <si>
    <t>98.72881356, 80.01968504, 69.3768997, 91.88654354, 70.08928571</t>
  </si>
  <si>
    <t>south, North, central, North-East</t>
  </si>
  <si>
    <t>direct, Indriect</t>
  </si>
  <si>
    <t>1, 0</t>
  </si>
  <si>
    <t>45.0, 46.0, 42.0, 39.0, 40.0</t>
  </si>
  <si>
    <t xml:space="preserve">Cleaning Actions Being Considered
</t>
  </si>
  <si>
    <t>No. Unique Values</t>
  </si>
  <si>
    <t>Missing %</t>
  </si>
  <si>
    <t>Top Category Frequency (%)</t>
  </si>
  <si>
    <t>Num: Std</t>
  </si>
  <si>
    <t>Correlation with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</si>
</sst>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2" tint="-0.249977111117893"/>
      </left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  <xf numFmtId="0" fontId="0" fillId="0" borderId="11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wrapText="1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13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0" borderId="10" xfId="0" applyBorder="1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C72F-0F8E-4637-9095-128DF07AEE17}">
  <dimension ref="A1:P36"/>
  <sheetViews>
    <sheetView tabSelected="1" zoomScale="64" workbookViewId="0">
      <selection activeCell="T9" sqref="T9"/>
    </sheetView>
  </sheetViews>
  <sheetFormatPr defaultRowHeight="14.5" x14ac:dyDescent="0.35"/>
  <cols>
    <col min="1" max="1" width="15.36328125" customWidth="1"/>
    <col min="2" max="2" width="14" customWidth="1"/>
    <col min="5" max="7" width="11.81640625" customWidth="1"/>
    <col min="10" max="14" width="11.6328125" customWidth="1"/>
  </cols>
  <sheetData>
    <row r="1" spans="1:16" x14ac:dyDescent="0.35">
      <c r="A1" s="7" t="s">
        <v>69</v>
      </c>
      <c r="B1" s="7"/>
      <c r="C1" s="7"/>
      <c r="D1" s="7"/>
      <c r="E1" s="7" t="s">
        <v>73</v>
      </c>
      <c r="F1" s="7"/>
      <c r="G1" s="7"/>
      <c r="H1" s="7"/>
      <c r="I1" s="7"/>
      <c r="J1" s="8" t="s">
        <v>76</v>
      </c>
      <c r="K1" s="5"/>
      <c r="L1" s="5"/>
      <c r="M1" s="5"/>
      <c r="N1" s="5" t="s">
        <v>75</v>
      </c>
      <c r="O1" s="5"/>
    </row>
    <row r="2" spans="1:16" s="1" customFormat="1" ht="64.5" customHeight="1" x14ac:dyDescent="0.35">
      <c r="A2" s="9" t="s">
        <v>0</v>
      </c>
      <c r="B2" s="6" t="s">
        <v>1</v>
      </c>
      <c r="C2" s="9" t="s">
        <v>68</v>
      </c>
      <c r="D2" s="6" t="s">
        <v>67</v>
      </c>
      <c r="E2" s="9" t="s">
        <v>70</v>
      </c>
      <c r="F2" s="6" t="s">
        <v>72</v>
      </c>
      <c r="G2" s="6" t="s">
        <v>80</v>
      </c>
      <c r="H2" s="9" t="s">
        <v>71</v>
      </c>
      <c r="I2" s="6" t="s">
        <v>81</v>
      </c>
      <c r="J2" s="3" t="s">
        <v>74</v>
      </c>
      <c r="K2" s="10" t="s">
        <v>77</v>
      </c>
      <c r="L2" s="3" t="s">
        <v>82</v>
      </c>
      <c r="M2" s="3" t="s">
        <v>83</v>
      </c>
      <c r="N2" s="10" t="s">
        <v>78</v>
      </c>
      <c r="O2" s="3" t="s">
        <v>79</v>
      </c>
      <c r="P2" s="1" t="s">
        <v>127</v>
      </c>
    </row>
    <row r="3" spans="1:16" ht="13" customHeight="1" x14ac:dyDescent="0.35">
      <c r="A3" s="4" t="s">
        <v>2</v>
      </c>
      <c r="B3" s="4"/>
      <c r="C3" s="4" t="s">
        <v>89</v>
      </c>
      <c r="D3" s="4" t="s">
        <v>3</v>
      </c>
      <c r="E3" s="4">
        <v>148670</v>
      </c>
      <c r="F3" s="4" t="s">
        <v>93</v>
      </c>
      <c r="G3" s="11" t="str">
        <f>IF(H3&gt;0,"Yes","No")</f>
        <v>No</v>
      </c>
      <c r="H3" s="4">
        <v>0</v>
      </c>
      <c r="I3" s="4"/>
      <c r="J3" s="4"/>
      <c r="K3" s="4">
        <v>42917.476597535417</v>
      </c>
      <c r="L3" s="4">
        <v>24890</v>
      </c>
      <c r="M3" s="4">
        <v>173559</v>
      </c>
      <c r="N3" s="4">
        <v>1.703121969355285E-3</v>
      </c>
      <c r="O3" s="4"/>
      <c r="P3" s="2" t="s">
        <v>63</v>
      </c>
    </row>
    <row r="4" spans="1:16" ht="13" customHeight="1" x14ac:dyDescent="0.35">
      <c r="A4" s="4" t="s">
        <v>4</v>
      </c>
      <c r="B4" s="4"/>
      <c r="C4" s="4" t="s">
        <v>89</v>
      </c>
      <c r="D4" s="4" t="s">
        <v>7</v>
      </c>
      <c r="E4" s="4">
        <v>1</v>
      </c>
      <c r="F4" s="4" t="s">
        <v>94</v>
      </c>
      <c r="G4" s="11" t="str">
        <f t="shared" ref="G4:G36" si="0">IF(H4&gt;0,"Yes","No")</f>
        <v>No</v>
      </c>
      <c r="H4" s="4">
        <v>0</v>
      </c>
      <c r="I4" s="4"/>
      <c r="J4" s="4"/>
      <c r="K4" s="4">
        <v>0</v>
      </c>
      <c r="L4" s="4">
        <v>2019</v>
      </c>
      <c r="M4" s="4">
        <v>2019</v>
      </c>
      <c r="N4" s="4"/>
      <c r="O4" s="4"/>
      <c r="P4" s="2" t="s">
        <v>64</v>
      </c>
    </row>
    <row r="5" spans="1:16" ht="13" customHeight="1" x14ac:dyDescent="0.35">
      <c r="A5" s="4" t="s">
        <v>5</v>
      </c>
      <c r="B5" s="4"/>
      <c r="C5" s="4" t="s">
        <v>90</v>
      </c>
      <c r="D5" s="4" t="s">
        <v>7</v>
      </c>
      <c r="E5" s="4">
        <v>2</v>
      </c>
      <c r="F5" s="4" t="s">
        <v>95</v>
      </c>
      <c r="G5" s="11" t="str">
        <f t="shared" si="0"/>
        <v>Yes</v>
      </c>
      <c r="H5" s="4">
        <v>2.2492769220421072</v>
      </c>
      <c r="I5" s="4"/>
      <c r="J5" s="4">
        <v>93.134057223070883</v>
      </c>
      <c r="K5" s="4"/>
      <c r="L5" s="4"/>
      <c r="M5" s="4"/>
      <c r="N5" s="4"/>
      <c r="O5" s="4"/>
      <c r="P5" s="2" t="s">
        <v>46</v>
      </c>
    </row>
    <row r="6" spans="1:16" ht="13" customHeight="1" x14ac:dyDescent="0.35">
      <c r="A6" s="4" t="s">
        <v>6</v>
      </c>
      <c r="B6" s="4"/>
      <c r="C6" s="4" t="s">
        <v>90</v>
      </c>
      <c r="D6" s="4" t="s">
        <v>7</v>
      </c>
      <c r="E6" s="4">
        <v>4</v>
      </c>
      <c r="F6" s="4" t="s">
        <v>96</v>
      </c>
      <c r="G6" s="11" t="str">
        <f t="shared" si="0"/>
        <v>No</v>
      </c>
      <c r="H6" s="4">
        <v>0</v>
      </c>
      <c r="I6" s="4"/>
      <c r="J6" s="4">
        <v>28.483217865070291</v>
      </c>
      <c r="K6" s="4"/>
      <c r="L6" s="4"/>
      <c r="M6" s="4"/>
      <c r="N6" s="4"/>
      <c r="O6" s="4"/>
      <c r="P6" s="2" t="s">
        <v>45</v>
      </c>
    </row>
    <row r="7" spans="1:16" ht="13" customHeight="1" x14ac:dyDescent="0.35">
      <c r="A7" s="4" t="s">
        <v>8</v>
      </c>
      <c r="B7" s="4" t="s">
        <v>9</v>
      </c>
      <c r="C7" s="4" t="s">
        <v>90</v>
      </c>
      <c r="D7" s="4" t="s">
        <v>7</v>
      </c>
      <c r="E7" s="4">
        <v>2</v>
      </c>
      <c r="F7" s="4" t="s">
        <v>97</v>
      </c>
      <c r="G7" s="11" t="str">
        <f t="shared" si="0"/>
        <v>Yes</v>
      </c>
      <c r="H7" s="4">
        <v>0.61074863792291656</v>
      </c>
      <c r="I7" s="4"/>
      <c r="J7" s="4">
        <v>84.339004615530371</v>
      </c>
      <c r="K7" s="4"/>
      <c r="L7" s="4"/>
      <c r="M7" s="4"/>
      <c r="N7" s="4"/>
      <c r="O7" s="4"/>
      <c r="P7" s="2" t="s">
        <v>46</v>
      </c>
    </row>
    <row r="8" spans="1:16" ht="13" customHeight="1" x14ac:dyDescent="0.35">
      <c r="A8" s="4" t="s">
        <v>10</v>
      </c>
      <c r="B8" s="4"/>
      <c r="C8" s="4" t="s">
        <v>90</v>
      </c>
      <c r="D8" s="4" t="s">
        <v>7</v>
      </c>
      <c r="E8" s="4">
        <v>3</v>
      </c>
      <c r="F8" s="4" t="s">
        <v>98</v>
      </c>
      <c r="G8" s="11" t="str">
        <f t="shared" si="0"/>
        <v>No</v>
      </c>
      <c r="H8" s="4">
        <v>0</v>
      </c>
      <c r="I8" s="4"/>
      <c r="J8" s="4">
        <v>76.123629515033301</v>
      </c>
      <c r="K8" s="4"/>
      <c r="L8" s="4"/>
      <c r="M8" s="4"/>
      <c r="N8" s="4"/>
      <c r="O8" s="4"/>
      <c r="P8" s="2" t="s">
        <v>45</v>
      </c>
    </row>
    <row r="9" spans="1:16" ht="13" customHeight="1" x14ac:dyDescent="0.35">
      <c r="A9" s="4" t="s">
        <v>11</v>
      </c>
      <c r="B9" s="4"/>
      <c r="C9" s="4" t="s">
        <v>90</v>
      </c>
      <c r="D9" s="4" t="s">
        <v>7</v>
      </c>
      <c r="E9" s="4">
        <v>4</v>
      </c>
      <c r="F9" s="4" t="s">
        <v>99</v>
      </c>
      <c r="G9" s="11" t="str">
        <f t="shared" si="0"/>
        <v>Yes</v>
      </c>
      <c r="H9" s="4">
        <v>9.0132508239725573E-2</v>
      </c>
      <c r="I9" s="4"/>
      <c r="J9" s="4">
        <v>37.656864329186192</v>
      </c>
      <c r="K9" s="4"/>
      <c r="L9" s="4"/>
      <c r="M9" s="4"/>
      <c r="N9" s="4"/>
      <c r="O9" s="4"/>
      <c r="P9" s="2" t="s">
        <v>46</v>
      </c>
    </row>
    <row r="10" spans="1:16" ht="13" customHeight="1" x14ac:dyDescent="0.35">
      <c r="A10" s="4" t="s">
        <v>12</v>
      </c>
      <c r="B10" s="4" t="s">
        <v>13</v>
      </c>
      <c r="C10" s="4" t="s">
        <v>90</v>
      </c>
      <c r="D10" s="4" t="s">
        <v>7</v>
      </c>
      <c r="E10" s="4">
        <v>2</v>
      </c>
      <c r="F10" s="4" t="s">
        <v>100</v>
      </c>
      <c r="G10" s="11" t="str">
        <f t="shared" si="0"/>
        <v>No</v>
      </c>
      <c r="H10" s="4">
        <v>0</v>
      </c>
      <c r="I10" s="4"/>
      <c r="J10" s="4">
        <v>95.744938454294754</v>
      </c>
      <c r="K10" s="4"/>
      <c r="L10" s="4"/>
      <c r="M10" s="4"/>
      <c r="N10" s="4"/>
      <c r="O10" s="4"/>
      <c r="P10" s="2" t="s">
        <v>45</v>
      </c>
    </row>
    <row r="11" spans="1:16" ht="13" customHeight="1" x14ac:dyDescent="0.35">
      <c r="A11" s="4" t="s">
        <v>14</v>
      </c>
      <c r="B11" s="4" t="s">
        <v>15</v>
      </c>
      <c r="C11" s="4" t="s">
        <v>90</v>
      </c>
      <c r="D11" s="4" t="s">
        <v>7</v>
      </c>
      <c r="E11" s="4">
        <v>2</v>
      </c>
      <c r="F11" s="4" t="s">
        <v>101</v>
      </c>
      <c r="G11" s="11" t="str">
        <f t="shared" si="0"/>
        <v>No</v>
      </c>
      <c r="H11" s="4">
        <v>0</v>
      </c>
      <c r="I11" s="4"/>
      <c r="J11" s="4">
        <v>99.626017353870992</v>
      </c>
      <c r="K11" s="4"/>
      <c r="L11" s="4"/>
      <c r="M11" s="4"/>
      <c r="N11" s="4"/>
      <c r="O11" s="4"/>
      <c r="P11" s="2" t="s">
        <v>45</v>
      </c>
    </row>
    <row r="12" spans="1:16" ht="13" customHeight="1" x14ac:dyDescent="0.35">
      <c r="A12" s="4" t="s">
        <v>16</v>
      </c>
      <c r="B12" s="4" t="s">
        <v>17</v>
      </c>
      <c r="C12" s="4" t="s">
        <v>90</v>
      </c>
      <c r="D12" s="4" t="s">
        <v>7</v>
      </c>
      <c r="E12" s="4">
        <v>2</v>
      </c>
      <c r="F12" s="4" t="s">
        <v>102</v>
      </c>
      <c r="G12" s="11" t="str">
        <f t="shared" si="0"/>
        <v>No</v>
      </c>
      <c r="H12" s="4">
        <v>0</v>
      </c>
      <c r="I12" s="4"/>
      <c r="J12" s="4">
        <v>86.03484226811058</v>
      </c>
      <c r="K12" s="4"/>
      <c r="L12" s="4"/>
      <c r="M12" s="4"/>
      <c r="N12" s="4"/>
      <c r="O12" s="4"/>
      <c r="P12" s="2" t="s">
        <v>45</v>
      </c>
    </row>
    <row r="13" spans="1:16" ht="13" customHeight="1" x14ac:dyDescent="0.35">
      <c r="A13" s="4" t="s">
        <v>18</v>
      </c>
      <c r="B13" s="4"/>
      <c r="C13" s="4" t="s">
        <v>89</v>
      </c>
      <c r="D13" s="4" t="s">
        <v>92</v>
      </c>
      <c r="E13" s="4">
        <v>211</v>
      </c>
      <c r="F13" s="4" t="s">
        <v>103</v>
      </c>
      <c r="G13" s="11" t="str">
        <f t="shared" si="0"/>
        <v>No</v>
      </c>
      <c r="H13" s="4">
        <v>0</v>
      </c>
      <c r="I13" s="4"/>
      <c r="J13" s="4"/>
      <c r="K13" s="4">
        <v>183909.31012708551</v>
      </c>
      <c r="L13" s="4">
        <v>16500</v>
      </c>
      <c r="M13" s="4">
        <v>3576500</v>
      </c>
      <c r="N13" s="4">
        <v>-3.6825275544373967E-2</v>
      </c>
      <c r="O13" s="4"/>
      <c r="P13" s="2" t="s">
        <v>45</v>
      </c>
    </row>
    <row r="14" spans="1:16" ht="13" customHeight="1" x14ac:dyDescent="0.35">
      <c r="A14" s="4" t="s">
        <v>19</v>
      </c>
      <c r="B14" s="4"/>
      <c r="C14" s="4" t="s">
        <v>91</v>
      </c>
      <c r="D14" s="4" t="s">
        <v>92</v>
      </c>
      <c r="E14" s="4">
        <v>131</v>
      </c>
      <c r="F14" s="4" t="s">
        <v>104</v>
      </c>
      <c r="G14" s="11" t="str">
        <f t="shared" si="0"/>
        <v>Yes</v>
      </c>
      <c r="H14" s="4">
        <v>24.50998856527881</v>
      </c>
      <c r="I14" s="4"/>
      <c r="J14" s="4"/>
      <c r="K14" s="4">
        <v>0.56139119346704236</v>
      </c>
      <c r="L14" s="4">
        <v>0</v>
      </c>
      <c r="M14" s="4">
        <v>8</v>
      </c>
      <c r="N14" s="4">
        <v>2.295707332398849E-2</v>
      </c>
      <c r="O14" s="4"/>
      <c r="P14" s="2" t="s">
        <v>46</v>
      </c>
    </row>
    <row r="15" spans="1:16" ht="13" customHeight="1" x14ac:dyDescent="0.35">
      <c r="A15" s="4" t="s">
        <v>20</v>
      </c>
      <c r="B15" s="4"/>
      <c r="C15" s="4" t="s">
        <v>91</v>
      </c>
      <c r="D15" s="4" t="s">
        <v>92</v>
      </c>
      <c r="E15" s="4">
        <v>22516</v>
      </c>
      <c r="F15" s="4" t="s">
        <v>105</v>
      </c>
      <c r="G15" s="11" t="str">
        <f t="shared" si="0"/>
        <v>Yes</v>
      </c>
      <c r="H15" s="4">
        <v>24.64451469697989</v>
      </c>
      <c r="I15" s="4"/>
      <c r="J15" s="4"/>
      <c r="K15" s="4">
        <v>0.51304273578472881</v>
      </c>
      <c r="L15" s="4">
        <v>-3.6379999999999999</v>
      </c>
      <c r="M15" s="4">
        <v>3.3570000000000002</v>
      </c>
      <c r="N15" s="4"/>
      <c r="O15" s="4"/>
      <c r="P15" s="2" t="s">
        <v>46</v>
      </c>
    </row>
    <row r="16" spans="1:16" ht="13" customHeight="1" x14ac:dyDescent="0.35">
      <c r="A16" s="4" t="s">
        <v>21</v>
      </c>
      <c r="B16" s="4"/>
      <c r="C16" s="4" t="s">
        <v>91</v>
      </c>
      <c r="D16" s="4" t="s">
        <v>92</v>
      </c>
      <c r="E16" s="4">
        <v>58271</v>
      </c>
      <c r="F16" s="4" t="s">
        <v>106</v>
      </c>
      <c r="G16" s="11" t="str">
        <f t="shared" si="0"/>
        <v>Yes</v>
      </c>
      <c r="H16" s="4">
        <v>26.664424564471648</v>
      </c>
      <c r="I16" s="4"/>
      <c r="J16" s="4"/>
      <c r="K16" s="4">
        <v>3251.1215097103259</v>
      </c>
      <c r="L16" s="4">
        <v>0</v>
      </c>
      <c r="M16" s="4">
        <v>60000</v>
      </c>
      <c r="N16" s="4">
        <v>-1.913794191908548E-2</v>
      </c>
      <c r="O16" s="4"/>
      <c r="P16" s="2" t="s">
        <v>49</v>
      </c>
    </row>
    <row r="17" spans="1:16" ht="13" customHeight="1" x14ac:dyDescent="0.35">
      <c r="A17" s="4" t="s">
        <v>22</v>
      </c>
      <c r="B17" s="4"/>
      <c r="C17" s="4" t="s">
        <v>91</v>
      </c>
      <c r="D17" s="4" t="s">
        <v>92</v>
      </c>
      <c r="E17" s="4">
        <v>26</v>
      </c>
      <c r="F17" s="4" t="s">
        <v>107</v>
      </c>
      <c r="G17" s="11" t="str">
        <f t="shared" si="0"/>
        <v>Yes</v>
      </c>
      <c r="H17" s="4">
        <v>2.7577856998721999E-2</v>
      </c>
      <c r="I17" s="4"/>
      <c r="J17" s="4"/>
      <c r="K17" s="4">
        <v>58.409083508964343</v>
      </c>
      <c r="L17" s="4">
        <v>96</v>
      </c>
      <c r="M17" s="4">
        <v>360</v>
      </c>
      <c r="N17" s="4">
        <v>-2.3982428649335701E-4</v>
      </c>
      <c r="O17" s="4"/>
      <c r="P17" s="2" t="s">
        <v>46</v>
      </c>
    </row>
    <row r="18" spans="1:16" ht="13" customHeight="1" x14ac:dyDescent="0.35">
      <c r="A18" s="4" t="s">
        <v>23</v>
      </c>
      <c r="B18" s="4"/>
      <c r="C18" s="4" t="s">
        <v>90</v>
      </c>
      <c r="D18" s="4" t="s">
        <v>7</v>
      </c>
      <c r="E18" s="4">
        <v>2</v>
      </c>
      <c r="F18" s="4" t="s">
        <v>108</v>
      </c>
      <c r="G18" s="11" t="str">
        <f t="shared" si="0"/>
        <v>Yes</v>
      </c>
      <c r="H18" s="4">
        <v>8.1388309679155169E-2</v>
      </c>
      <c r="I18" s="4"/>
      <c r="J18" s="4">
        <v>89.815481760227271</v>
      </c>
      <c r="K18" s="4"/>
      <c r="L18" s="4"/>
      <c r="M18" s="4"/>
      <c r="N18" s="4"/>
      <c r="O18" s="4"/>
      <c r="P18" s="2" t="s">
        <v>46</v>
      </c>
    </row>
    <row r="19" spans="1:16" ht="13" customHeight="1" x14ac:dyDescent="0.35">
      <c r="A19" s="4" t="s">
        <v>24</v>
      </c>
      <c r="B19" s="4"/>
      <c r="C19" s="4" t="s">
        <v>90</v>
      </c>
      <c r="D19" s="4" t="s">
        <v>7</v>
      </c>
      <c r="E19" s="4">
        <v>2</v>
      </c>
      <c r="F19" s="4" t="s">
        <v>109</v>
      </c>
      <c r="G19" s="11" t="str">
        <f t="shared" si="0"/>
        <v>No</v>
      </c>
      <c r="H19" s="4">
        <v>0</v>
      </c>
      <c r="I19" s="4"/>
      <c r="J19" s="4">
        <v>95.217596018026512</v>
      </c>
      <c r="K19" s="4"/>
      <c r="L19" s="4"/>
      <c r="M19" s="4"/>
      <c r="N19" s="4"/>
      <c r="O19" s="4"/>
      <c r="P19" s="2" t="s">
        <v>45</v>
      </c>
    </row>
    <row r="20" spans="1:16" ht="13" customHeight="1" x14ac:dyDescent="0.35">
      <c r="A20" s="4" t="s">
        <v>25</v>
      </c>
      <c r="B20" s="4"/>
      <c r="C20" s="4" t="s">
        <v>90</v>
      </c>
      <c r="D20" s="4" t="s">
        <v>7</v>
      </c>
      <c r="E20" s="4">
        <v>2</v>
      </c>
      <c r="F20" s="4" t="s">
        <v>110</v>
      </c>
      <c r="G20" s="11" t="str">
        <f t="shared" si="0"/>
        <v>No</v>
      </c>
      <c r="H20" s="4">
        <v>0</v>
      </c>
      <c r="I20" s="4"/>
      <c r="J20" s="4">
        <v>97.723817851617682</v>
      </c>
      <c r="K20" s="4"/>
      <c r="L20" s="4"/>
      <c r="M20" s="4"/>
      <c r="N20" s="4"/>
      <c r="O20" s="4"/>
      <c r="P20" s="2" t="s">
        <v>45</v>
      </c>
    </row>
    <row r="21" spans="1:16" ht="13" customHeight="1" x14ac:dyDescent="0.35">
      <c r="A21" s="4" t="s">
        <v>26</v>
      </c>
      <c r="B21" s="4"/>
      <c r="C21" s="4" t="s">
        <v>91</v>
      </c>
      <c r="D21" s="4" t="s">
        <v>92</v>
      </c>
      <c r="E21" s="4">
        <v>385</v>
      </c>
      <c r="F21" s="4" t="s">
        <v>111</v>
      </c>
      <c r="G21" s="11" t="str">
        <f t="shared" si="0"/>
        <v>Yes</v>
      </c>
      <c r="H21" s="4">
        <v>10.15537768211475</v>
      </c>
      <c r="I21" s="4"/>
      <c r="J21" s="4"/>
      <c r="K21" s="4">
        <v>359935.31556194392</v>
      </c>
      <c r="L21" s="4">
        <v>8000</v>
      </c>
      <c r="M21" s="4">
        <v>16508000</v>
      </c>
      <c r="N21" s="4">
        <v>-4.886412718512826E-2</v>
      </c>
      <c r="O21" s="4"/>
      <c r="P21" s="2" t="s">
        <v>46</v>
      </c>
    </row>
    <row r="22" spans="1:16" ht="13" customHeight="1" x14ac:dyDescent="0.35">
      <c r="A22" s="4" t="s">
        <v>27</v>
      </c>
      <c r="B22" s="4"/>
      <c r="C22" s="4" t="s">
        <v>90</v>
      </c>
      <c r="D22" s="4" t="s">
        <v>7</v>
      </c>
      <c r="E22" s="4">
        <v>2</v>
      </c>
      <c r="F22" s="4" t="s">
        <v>112</v>
      </c>
      <c r="G22" s="11" t="str">
        <f t="shared" si="0"/>
        <v>No</v>
      </c>
      <c r="H22" s="4">
        <v>0</v>
      </c>
      <c r="I22" s="4"/>
      <c r="J22" s="4">
        <v>99.97780318826932</v>
      </c>
      <c r="K22" s="4"/>
      <c r="L22" s="4"/>
      <c r="M22" s="4"/>
      <c r="N22" s="4"/>
      <c r="O22" s="4"/>
      <c r="P22" s="2" t="s">
        <v>50</v>
      </c>
    </row>
    <row r="23" spans="1:16" ht="13" customHeight="1" x14ac:dyDescent="0.35">
      <c r="A23" s="4" t="s">
        <v>28</v>
      </c>
      <c r="B23" s="4"/>
      <c r="C23" s="4" t="s">
        <v>90</v>
      </c>
      <c r="D23" s="4" t="s">
        <v>7</v>
      </c>
      <c r="E23" s="4">
        <v>3</v>
      </c>
      <c r="F23" s="4" t="s">
        <v>113</v>
      </c>
      <c r="G23" s="11" t="str">
        <f t="shared" si="0"/>
        <v>No</v>
      </c>
      <c r="H23" s="4">
        <v>0</v>
      </c>
      <c r="I23" s="4"/>
      <c r="J23" s="4">
        <v>92.958229636106822</v>
      </c>
      <c r="K23" s="4"/>
      <c r="L23" s="4"/>
      <c r="M23" s="4"/>
      <c r="N23" s="4"/>
      <c r="O23" s="4"/>
      <c r="P23" s="2" t="s">
        <v>51</v>
      </c>
    </row>
    <row r="24" spans="1:16" ht="13" customHeight="1" x14ac:dyDescent="0.35">
      <c r="A24" s="4" t="s">
        <v>29</v>
      </c>
      <c r="B24" s="4"/>
      <c r="C24" s="4" t="s">
        <v>90</v>
      </c>
      <c r="D24" s="4" t="s">
        <v>7</v>
      </c>
      <c r="E24" s="4">
        <v>2</v>
      </c>
      <c r="F24" s="4" t="s">
        <v>114</v>
      </c>
      <c r="G24" s="11" t="str">
        <f t="shared" si="0"/>
        <v>No</v>
      </c>
      <c r="H24" s="4">
        <v>0</v>
      </c>
      <c r="I24" s="4"/>
      <c r="J24" s="4">
        <v>99.97780318826932</v>
      </c>
      <c r="K24" s="4"/>
      <c r="L24" s="4"/>
      <c r="M24" s="4"/>
      <c r="N24" s="4"/>
      <c r="O24" s="4"/>
      <c r="P24" s="2" t="s">
        <v>50</v>
      </c>
    </row>
    <row r="25" spans="1:16" ht="13" customHeight="1" x14ac:dyDescent="0.35">
      <c r="A25" s="4" t="s">
        <v>30</v>
      </c>
      <c r="B25" s="4"/>
      <c r="C25" s="4" t="s">
        <v>90</v>
      </c>
      <c r="D25" s="4" t="s">
        <v>7</v>
      </c>
      <c r="E25" s="4">
        <v>4</v>
      </c>
      <c r="F25" s="4" t="s">
        <v>115</v>
      </c>
      <c r="G25" s="11" t="str">
        <f t="shared" si="0"/>
        <v>No</v>
      </c>
      <c r="H25" s="4">
        <v>0</v>
      </c>
      <c r="I25" s="4"/>
      <c r="J25" s="4">
        <v>98.526938857873134</v>
      </c>
      <c r="K25" s="4"/>
      <c r="L25" s="4"/>
      <c r="M25" s="4"/>
      <c r="N25" s="4"/>
      <c r="O25" s="4"/>
      <c r="P25" s="2" t="s">
        <v>50</v>
      </c>
    </row>
    <row r="26" spans="1:16" ht="13" customHeight="1" x14ac:dyDescent="0.35">
      <c r="A26" s="4" t="s">
        <v>31</v>
      </c>
      <c r="B26" s="4"/>
      <c r="C26" s="4" t="s">
        <v>91</v>
      </c>
      <c r="D26" s="4" t="s">
        <v>92</v>
      </c>
      <c r="E26" s="4">
        <v>1001</v>
      </c>
      <c r="F26" s="4" t="s">
        <v>116</v>
      </c>
      <c r="G26" s="11" t="str">
        <f t="shared" si="0"/>
        <v>Yes</v>
      </c>
      <c r="H26" s="4">
        <v>6.1545705253245444</v>
      </c>
      <c r="I26" s="4"/>
      <c r="J26" s="4"/>
      <c r="K26" s="4">
        <v>6496.5863822202537</v>
      </c>
      <c r="L26" s="4">
        <v>0</v>
      </c>
      <c r="M26" s="4">
        <v>578580</v>
      </c>
      <c r="N26" s="4">
        <v>-6.5118969608288974E-2</v>
      </c>
      <c r="O26" s="4"/>
      <c r="P26" s="2" t="s">
        <v>46</v>
      </c>
    </row>
    <row r="27" spans="1:16" ht="13" customHeight="1" x14ac:dyDescent="0.35">
      <c r="A27" s="4" t="s">
        <v>32</v>
      </c>
      <c r="B27" s="4"/>
      <c r="C27" s="4" t="s">
        <v>90</v>
      </c>
      <c r="D27" s="4" t="s">
        <v>7</v>
      </c>
      <c r="E27" s="4">
        <v>4</v>
      </c>
      <c r="F27" s="4" t="s">
        <v>117</v>
      </c>
      <c r="G27" s="11" t="str">
        <f t="shared" si="0"/>
        <v>No</v>
      </c>
      <c r="H27" s="4">
        <v>0</v>
      </c>
      <c r="I27" s="4"/>
      <c r="J27" s="4">
        <v>32.388511468352718</v>
      </c>
      <c r="K27" s="4"/>
      <c r="L27" s="4"/>
      <c r="M27" s="4"/>
      <c r="N27" s="4"/>
      <c r="O27" s="4"/>
      <c r="P27" s="2" t="s">
        <v>52</v>
      </c>
    </row>
    <row r="28" spans="1:16" ht="13" customHeight="1" x14ac:dyDescent="0.35">
      <c r="A28" s="4" t="s">
        <v>33</v>
      </c>
      <c r="B28" s="4"/>
      <c r="C28" s="4" t="s">
        <v>89</v>
      </c>
      <c r="D28" s="4" t="s">
        <v>92</v>
      </c>
      <c r="E28" s="4">
        <v>401</v>
      </c>
      <c r="F28" s="4" t="s">
        <v>118</v>
      </c>
      <c r="G28" s="11" t="str">
        <f t="shared" si="0"/>
        <v>No</v>
      </c>
      <c r="H28" s="4">
        <v>0</v>
      </c>
      <c r="I28" s="4"/>
      <c r="J28" s="4"/>
      <c r="K28" s="4">
        <v>115.87585660446859</v>
      </c>
      <c r="L28" s="4">
        <v>500</v>
      </c>
      <c r="M28" s="4">
        <v>900</v>
      </c>
      <c r="N28" s="4">
        <v>4.0036935955881266E-3</v>
      </c>
      <c r="O28" s="4"/>
      <c r="P28" s="2" t="s">
        <v>45</v>
      </c>
    </row>
    <row r="29" spans="1:16" ht="13" customHeight="1" x14ac:dyDescent="0.35">
      <c r="A29" s="4" t="s">
        <v>34</v>
      </c>
      <c r="B29" s="4"/>
      <c r="C29" s="4" t="s">
        <v>90</v>
      </c>
      <c r="D29" s="4" t="s">
        <v>7</v>
      </c>
      <c r="E29" s="4">
        <v>2</v>
      </c>
      <c r="F29" s="4" t="s">
        <v>119</v>
      </c>
      <c r="G29" s="11" t="str">
        <f t="shared" si="0"/>
        <v>No</v>
      </c>
      <c r="H29" s="4">
        <v>0</v>
      </c>
      <c r="I29" s="4"/>
      <c r="J29" s="4">
        <v>50.038339947534801</v>
      </c>
      <c r="K29" s="4"/>
      <c r="L29" s="4"/>
      <c r="M29" s="4"/>
      <c r="N29" s="4"/>
      <c r="O29" s="4"/>
      <c r="P29" s="2" t="s">
        <v>52</v>
      </c>
    </row>
    <row r="30" spans="1:16" ht="13" customHeight="1" x14ac:dyDescent="0.35">
      <c r="A30" s="4" t="s">
        <v>35</v>
      </c>
      <c r="B30" s="4"/>
      <c r="C30" s="4" t="s">
        <v>90</v>
      </c>
      <c r="D30" s="4" t="s">
        <v>7</v>
      </c>
      <c r="E30" s="4">
        <v>7</v>
      </c>
      <c r="F30" s="4" t="s">
        <v>120</v>
      </c>
      <c r="G30" s="11" t="str">
        <f t="shared" si="0"/>
        <v>Yes</v>
      </c>
      <c r="H30" s="4">
        <v>0.13452613170108291</v>
      </c>
      <c r="I30" s="4"/>
      <c r="J30" s="4">
        <v>23.385195662423381</v>
      </c>
      <c r="K30" s="4"/>
      <c r="L30" s="4"/>
      <c r="M30" s="4"/>
      <c r="N30" s="4"/>
      <c r="O30" s="4"/>
      <c r="P30" s="2" t="s">
        <v>46</v>
      </c>
    </row>
    <row r="31" spans="1:16" ht="13" customHeight="1" x14ac:dyDescent="0.35">
      <c r="A31" s="4" t="s">
        <v>36</v>
      </c>
      <c r="B31" s="4" t="s">
        <v>53</v>
      </c>
      <c r="C31" s="4" t="s">
        <v>90</v>
      </c>
      <c r="D31" s="4" t="s">
        <v>7</v>
      </c>
      <c r="E31" s="4">
        <v>2</v>
      </c>
      <c r="F31" s="4" t="s">
        <v>121</v>
      </c>
      <c r="G31" s="11" t="str">
        <f t="shared" si="0"/>
        <v>Yes</v>
      </c>
      <c r="H31" s="4">
        <v>0.13452613170108291</v>
      </c>
      <c r="I31" s="4"/>
      <c r="J31" s="4">
        <v>64.534249343301681</v>
      </c>
      <c r="K31" s="4"/>
      <c r="L31" s="4"/>
      <c r="M31" s="4"/>
      <c r="N31" s="4"/>
      <c r="O31" s="4"/>
      <c r="P31" s="2" t="s">
        <v>46</v>
      </c>
    </row>
    <row r="32" spans="1:16" ht="13" customHeight="1" x14ac:dyDescent="0.35">
      <c r="A32" s="4" t="s">
        <v>37</v>
      </c>
      <c r="B32" s="4" t="s">
        <v>60</v>
      </c>
      <c r="C32" s="4" t="s">
        <v>91</v>
      </c>
      <c r="D32" s="4" t="s">
        <v>92</v>
      </c>
      <c r="E32" s="4">
        <v>8484</v>
      </c>
      <c r="F32" s="4" t="s">
        <v>122</v>
      </c>
      <c r="G32" s="11" t="str">
        <f t="shared" si="0"/>
        <v>Yes</v>
      </c>
      <c r="H32" s="4">
        <v>10.15537768211475</v>
      </c>
      <c r="I32" s="4"/>
      <c r="J32" s="4"/>
      <c r="K32" s="4">
        <v>39.967602983032251</v>
      </c>
      <c r="L32" s="4">
        <v>0.96747819800000001</v>
      </c>
      <c r="M32" s="4">
        <v>7831.25</v>
      </c>
      <c r="N32" s="4">
        <v>3.8895466172237873E-2</v>
      </c>
      <c r="O32" s="4"/>
      <c r="P32" s="2" t="s">
        <v>46</v>
      </c>
    </row>
    <row r="33" spans="1:16" ht="13" customHeight="1" x14ac:dyDescent="0.35">
      <c r="A33" s="4" t="s">
        <v>38</v>
      </c>
      <c r="B33" s="4"/>
      <c r="C33" s="4" t="s">
        <v>90</v>
      </c>
      <c r="D33" s="4" t="s">
        <v>7</v>
      </c>
      <c r="E33" s="4">
        <v>4</v>
      </c>
      <c r="F33" s="4" t="s">
        <v>123</v>
      </c>
      <c r="G33" s="11" t="str">
        <f t="shared" si="0"/>
        <v>No</v>
      </c>
      <c r="H33" s="4">
        <v>0</v>
      </c>
      <c r="I33" s="4"/>
      <c r="J33" s="4">
        <v>50.260308064841603</v>
      </c>
      <c r="K33" s="4"/>
      <c r="L33" s="4"/>
      <c r="M33" s="4"/>
      <c r="N33" s="4"/>
      <c r="O33" s="4"/>
      <c r="P33" s="2" t="s">
        <v>45</v>
      </c>
    </row>
    <row r="34" spans="1:16" ht="13" customHeight="1" x14ac:dyDescent="0.35">
      <c r="A34" s="4" t="s">
        <v>39</v>
      </c>
      <c r="B34" s="4"/>
      <c r="C34" s="4" t="s">
        <v>90</v>
      </c>
      <c r="D34" s="4" t="s">
        <v>7</v>
      </c>
      <c r="E34" s="4">
        <v>2</v>
      </c>
      <c r="F34" s="4" t="s">
        <v>124</v>
      </c>
      <c r="G34" s="11" t="str">
        <f t="shared" si="0"/>
        <v>No</v>
      </c>
      <c r="H34" s="4">
        <v>0</v>
      </c>
      <c r="I34" s="4"/>
      <c r="J34" s="4">
        <v>99.97780318826932</v>
      </c>
      <c r="K34" s="4"/>
      <c r="L34" s="4"/>
      <c r="M34" s="4"/>
      <c r="N34" s="4"/>
      <c r="O34" s="4"/>
      <c r="P34" s="2" t="s">
        <v>50</v>
      </c>
    </row>
    <row r="35" spans="1:16" ht="13" customHeight="1" x14ac:dyDescent="0.35">
      <c r="A35" s="4" t="s">
        <v>40</v>
      </c>
      <c r="B35" s="4"/>
      <c r="C35" s="4" t="s">
        <v>89</v>
      </c>
      <c r="D35" s="4" t="s">
        <v>41</v>
      </c>
      <c r="E35" s="4">
        <v>2</v>
      </c>
      <c r="F35" s="4" t="s">
        <v>125</v>
      </c>
      <c r="G35" s="11" t="str">
        <f t="shared" si="0"/>
        <v>No</v>
      </c>
      <c r="H35" s="4">
        <v>0</v>
      </c>
      <c r="I35" s="4"/>
      <c r="J35" s="4"/>
      <c r="K35" s="4">
        <v>0.43094220686213142</v>
      </c>
      <c r="L35" s="4">
        <v>0</v>
      </c>
      <c r="M35" s="4">
        <v>1</v>
      </c>
      <c r="N35" s="4">
        <v>1</v>
      </c>
      <c r="O35" s="4"/>
      <c r="P35" s="2" t="s">
        <v>61</v>
      </c>
    </row>
    <row r="36" spans="1:16" ht="13" customHeight="1" x14ac:dyDescent="0.35">
      <c r="A36" s="4" t="s">
        <v>42</v>
      </c>
      <c r="B36" s="4" t="s">
        <v>62</v>
      </c>
      <c r="C36" s="4" t="s">
        <v>91</v>
      </c>
      <c r="D36" s="4" t="s">
        <v>92</v>
      </c>
      <c r="E36" s="4">
        <v>57</v>
      </c>
      <c r="F36" s="4" t="s">
        <v>126</v>
      </c>
      <c r="G36" s="11" t="str">
        <f t="shared" si="0"/>
        <v>Yes</v>
      </c>
      <c r="H36" s="4">
        <v>16.22452411380911</v>
      </c>
      <c r="I36" s="4"/>
      <c r="J36" s="4"/>
      <c r="K36" s="4">
        <v>10.54543492987368</v>
      </c>
      <c r="L36" s="4">
        <v>5</v>
      </c>
      <c r="M36" s="4">
        <v>61</v>
      </c>
      <c r="N36" s="4">
        <v>7.8083066052822739E-2</v>
      </c>
      <c r="O36" s="4"/>
      <c r="P36" s="2" t="s">
        <v>46</v>
      </c>
    </row>
  </sheetData>
  <mergeCells count="4">
    <mergeCell ref="A1:D1"/>
    <mergeCell ref="E1:I1"/>
    <mergeCell ref="J1:M1"/>
    <mergeCell ref="N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E4F7B-FA83-409D-94F8-D372F0C53166}">
  <dimension ref="A1:D20"/>
  <sheetViews>
    <sheetView topLeftCell="A5" workbookViewId="0">
      <selection activeCell="G5" sqref="G5"/>
    </sheetView>
  </sheetViews>
  <sheetFormatPr defaultRowHeight="14.5" x14ac:dyDescent="0.35"/>
  <sheetData>
    <row r="1" spans="1:4" ht="43.5" x14ac:dyDescent="0.35">
      <c r="A1" s="1" t="s">
        <v>48</v>
      </c>
      <c r="B1" s="1"/>
      <c r="C1" s="1"/>
      <c r="D1" s="1"/>
    </row>
    <row r="2" spans="1:4" x14ac:dyDescent="0.35">
      <c r="B2" t="s">
        <v>44</v>
      </c>
    </row>
    <row r="3" spans="1:4" x14ac:dyDescent="0.35">
      <c r="B3" t="s">
        <v>43</v>
      </c>
    </row>
    <row r="4" spans="1:4" x14ac:dyDescent="0.35">
      <c r="B4" t="s">
        <v>47</v>
      </c>
    </row>
    <row r="5" spans="1:4" x14ac:dyDescent="0.35">
      <c r="A5" t="s">
        <v>54</v>
      </c>
    </row>
    <row r="6" spans="1:4" x14ac:dyDescent="0.35">
      <c r="B6" t="s">
        <v>55</v>
      </c>
    </row>
    <row r="7" spans="1:4" x14ac:dyDescent="0.35">
      <c r="B7" t="s">
        <v>56</v>
      </c>
    </row>
    <row r="8" spans="1:4" x14ac:dyDescent="0.35">
      <c r="A8" t="s">
        <v>57</v>
      </c>
    </row>
    <row r="9" spans="1:4" x14ac:dyDescent="0.35">
      <c r="A9" t="s">
        <v>58</v>
      </c>
    </row>
    <row r="10" spans="1:4" x14ac:dyDescent="0.35">
      <c r="A10" t="s">
        <v>66</v>
      </c>
    </row>
    <row r="11" spans="1:4" x14ac:dyDescent="0.35">
      <c r="A11" t="s">
        <v>59</v>
      </c>
    </row>
    <row r="13" spans="1:4" x14ac:dyDescent="0.35">
      <c r="A13" t="s">
        <v>65</v>
      </c>
    </row>
    <row r="16" spans="1:4" x14ac:dyDescent="0.35">
      <c r="A16" t="s">
        <v>86</v>
      </c>
    </row>
    <row r="17" spans="1:2" x14ac:dyDescent="0.35">
      <c r="A17" t="s">
        <v>84</v>
      </c>
    </row>
    <row r="18" spans="1:2" x14ac:dyDescent="0.35">
      <c r="A18" t="s">
        <v>85</v>
      </c>
    </row>
    <row r="19" spans="1:2" x14ac:dyDescent="0.35">
      <c r="B19" t="s">
        <v>87</v>
      </c>
    </row>
    <row r="20" spans="1:2" x14ac:dyDescent="0.35">
      <c r="B20" t="s">
        <v>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0E345-9870-43A7-BADA-A1934DFB624D}">
  <dimension ref="A1:J35"/>
  <sheetViews>
    <sheetView workbookViewId="0">
      <selection activeCell="M15" sqref="M15"/>
    </sheetView>
  </sheetViews>
  <sheetFormatPr defaultRowHeight="14.5" x14ac:dyDescent="0.35"/>
  <sheetData>
    <row r="1" spans="1:10" x14ac:dyDescent="0.35">
      <c r="A1" t="s">
        <v>0</v>
      </c>
      <c r="B1" t="s">
        <v>68</v>
      </c>
      <c r="C1" t="s">
        <v>128</v>
      </c>
      <c r="D1" t="s">
        <v>72</v>
      </c>
      <c r="E1" t="s">
        <v>129</v>
      </c>
      <c r="F1" t="s">
        <v>130</v>
      </c>
      <c r="G1" t="s">
        <v>131</v>
      </c>
      <c r="H1" t="s">
        <v>82</v>
      </c>
      <c r="I1" t="s">
        <v>83</v>
      </c>
      <c r="J1" t="s">
        <v>132</v>
      </c>
    </row>
    <row r="2" spans="1:10" x14ac:dyDescent="0.35">
      <c r="A2" t="s">
        <v>2</v>
      </c>
      <c r="B2" t="s">
        <v>89</v>
      </c>
      <c r="C2">
        <v>148670</v>
      </c>
      <c r="D2" t="s">
        <v>93</v>
      </c>
      <c r="E2">
        <v>0</v>
      </c>
      <c r="G2">
        <v>42917.476597535417</v>
      </c>
      <c r="H2">
        <v>24890</v>
      </c>
      <c r="I2">
        <v>173559</v>
      </c>
      <c r="J2">
        <v>1.703121969355285E-3</v>
      </c>
    </row>
    <row r="3" spans="1:10" x14ac:dyDescent="0.35">
      <c r="A3" t="s">
        <v>4</v>
      </c>
      <c r="B3" t="s">
        <v>89</v>
      </c>
      <c r="C3">
        <v>1</v>
      </c>
      <c r="D3" t="s">
        <v>94</v>
      </c>
      <c r="E3">
        <v>0</v>
      </c>
      <c r="G3">
        <v>0</v>
      </c>
      <c r="H3">
        <v>2019</v>
      </c>
      <c r="I3">
        <v>2019</v>
      </c>
    </row>
    <row r="4" spans="1:10" x14ac:dyDescent="0.35">
      <c r="A4" t="s">
        <v>5</v>
      </c>
      <c r="B4" t="s">
        <v>90</v>
      </c>
      <c r="C4">
        <v>2</v>
      </c>
      <c r="D4" t="s">
        <v>95</v>
      </c>
      <c r="E4">
        <v>2.2492769220421072</v>
      </c>
      <c r="F4">
        <v>93.134057223070883</v>
      </c>
    </row>
    <row r="5" spans="1:10" x14ac:dyDescent="0.35">
      <c r="A5" t="s">
        <v>6</v>
      </c>
      <c r="B5" t="s">
        <v>90</v>
      </c>
      <c r="C5">
        <v>4</v>
      </c>
      <c r="D5" t="s">
        <v>96</v>
      </c>
      <c r="E5">
        <v>0</v>
      </c>
      <c r="F5">
        <v>28.483217865070291</v>
      </c>
    </row>
    <row r="6" spans="1:10" x14ac:dyDescent="0.35">
      <c r="A6" t="s">
        <v>8</v>
      </c>
      <c r="B6" t="s">
        <v>90</v>
      </c>
      <c r="C6">
        <v>2</v>
      </c>
      <c r="D6" t="s">
        <v>97</v>
      </c>
      <c r="E6">
        <v>0.61074863792291656</v>
      </c>
      <c r="F6">
        <v>84.339004615530371</v>
      </c>
    </row>
    <row r="7" spans="1:10" x14ac:dyDescent="0.35">
      <c r="A7" t="s">
        <v>10</v>
      </c>
      <c r="B7" t="s">
        <v>90</v>
      </c>
      <c r="C7">
        <v>3</v>
      </c>
      <c r="D7" t="s">
        <v>98</v>
      </c>
      <c r="E7">
        <v>0</v>
      </c>
      <c r="F7">
        <v>76.123629515033301</v>
      </c>
    </row>
    <row r="8" spans="1:10" x14ac:dyDescent="0.35">
      <c r="A8" t="s">
        <v>11</v>
      </c>
      <c r="B8" t="s">
        <v>90</v>
      </c>
      <c r="C8">
        <v>4</v>
      </c>
      <c r="D8" t="s">
        <v>99</v>
      </c>
      <c r="E8">
        <v>9.0132508239725573E-2</v>
      </c>
      <c r="F8">
        <v>37.656864329186192</v>
      </c>
    </row>
    <row r="9" spans="1:10" x14ac:dyDescent="0.35">
      <c r="A9" t="s">
        <v>12</v>
      </c>
      <c r="B9" t="s">
        <v>90</v>
      </c>
      <c r="C9">
        <v>2</v>
      </c>
      <c r="D9" t="s">
        <v>100</v>
      </c>
      <c r="E9">
        <v>0</v>
      </c>
      <c r="F9">
        <v>95.744938454294754</v>
      </c>
    </row>
    <row r="10" spans="1:10" x14ac:dyDescent="0.35">
      <c r="A10" t="s">
        <v>14</v>
      </c>
      <c r="B10" t="s">
        <v>90</v>
      </c>
      <c r="C10">
        <v>2</v>
      </c>
      <c r="D10" t="s">
        <v>101</v>
      </c>
      <c r="E10">
        <v>0</v>
      </c>
      <c r="F10">
        <v>99.626017353870992</v>
      </c>
    </row>
    <row r="11" spans="1:10" x14ac:dyDescent="0.35">
      <c r="A11" t="s">
        <v>16</v>
      </c>
      <c r="B11" t="s">
        <v>90</v>
      </c>
      <c r="C11">
        <v>2</v>
      </c>
      <c r="D11" t="s">
        <v>102</v>
      </c>
      <c r="E11">
        <v>0</v>
      </c>
      <c r="F11">
        <v>86.03484226811058</v>
      </c>
    </row>
    <row r="12" spans="1:10" x14ac:dyDescent="0.35">
      <c r="A12" t="s">
        <v>18</v>
      </c>
      <c r="B12" t="s">
        <v>89</v>
      </c>
      <c r="C12">
        <v>211</v>
      </c>
      <c r="D12" t="s">
        <v>103</v>
      </c>
      <c r="E12">
        <v>0</v>
      </c>
      <c r="G12">
        <v>183909.31012708551</v>
      </c>
      <c r="H12">
        <v>16500</v>
      </c>
      <c r="I12">
        <v>3576500</v>
      </c>
      <c r="J12">
        <v>-3.6825275544373967E-2</v>
      </c>
    </row>
    <row r="13" spans="1:10" x14ac:dyDescent="0.35">
      <c r="A13" t="s">
        <v>19</v>
      </c>
      <c r="B13" t="s">
        <v>91</v>
      </c>
      <c r="C13">
        <v>131</v>
      </c>
      <c r="D13" t="s">
        <v>104</v>
      </c>
      <c r="E13">
        <v>24.50998856527881</v>
      </c>
      <c r="G13">
        <v>0.56139119346704236</v>
      </c>
      <c r="H13">
        <v>0</v>
      </c>
      <c r="I13">
        <v>8</v>
      </c>
      <c r="J13">
        <v>2.295707332398849E-2</v>
      </c>
    </row>
    <row r="14" spans="1:10" x14ac:dyDescent="0.35">
      <c r="A14" t="s">
        <v>20</v>
      </c>
      <c r="B14" t="s">
        <v>91</v>
      </c>
      <c r="C14">
        <v>22516</v>
      </c>
      <c r="D14" t="s">
        <v>105</v>
      </c>
      <c r="E14">
        <v>24.64451469697989</v>
      </c>
      <c r="G14">
        <v>0.51304273578472881</v>
      </c>
      <c r="H14">
        <v>-3.6379999999999999</v>
      </c>
      <c r="I14">
        <v>3.3570000000000002</v>
      </c>
    </row>
    <row r="15" spans="1:10" x14ac:dyDescent="0.35">
      <c r="A15" t="s">
        <v>21</v>
      </c>
      <c r="B15" t="s">
        <v>91</v>
      </c>
      <c r="C15">
        <v>58271</v>
      </c>
      <c r="D15" t="s">
        <v>106</v>
      </c>
      <c r="E15">
        <v>26.664424564471648</v>
      </c>
      <c r="G15">
        <v>3251.1215097103259</v>
      </c>
      <c r="H15">
        <v>0</v>
      </c>
      <c r="I15">
        <v>60000</v>
      </c>
      <c r="J15">
        <v>-1.913794191908548E-2</v>
      </c>
    </row>
    <row r="16" spans="1:10" x14ac:dyDescent="0.35">
      <c r="A16" t="s">
        <v>22</v>
      </c>
      <c r="B16" t="s">
        <v>91</v>
      </c>
      <c r="C16">
        <v>26</v>
      </c>
      <c r="D16" t="s">
        <v>107</v>
      </c>
      <c r="E16">
        <v>2.7577856998721999E-2</v>
      </c>
      <c r="G16">
        <v>58.409083508964343</v>
      </c>
      <c r="H16">
        <v>96</v>
      </c>
      <c r="I16">
        <v>360</v>
      </c>
      <c r="J16">
        <v>-2.3982428649335701E-4</v>
      </c>
    </row>
    <row r="17" spans="1:10" x14ac:dyDescent="0.35">
      <c r="A17" t="s">
        <v>23</v>
      </c>
      <c r="B17" t="s">
        <v>90</v>
      </c>
      <c r="C17">
        <v>2</v>
      </c>
      <c r="D17" t="s">
        <v>108</v>
      </c>
      <c r="E17">
        <v>8.1388309679155169E-2</v>
      </c>
      <c r="F17">
        <v>89.815481760227271</v>
      </c>
    </row>
    <row r="18" spans="1:10" x14ac:dyDescent="0.35">
      <c r="A18" t="s">
        <v>24</v>
      </c>
      <c r="B18" t="s">
        <v>90</v>
      </c>
      <c r="C18">
        <v>2</v>
      </c>
      <c r="D18" t="s">
        <v>109</v>
      </c>
      <c r="E18">
        <v>0</v>
      </c>
      <c r="F18">
        <v>95.217596018026512</v>
      </c>
    </row>
    <row r="19" spans="1:10" x14ac:dyDescent="0.35">
      <c r="A19" t="s">
        <v>25</v>
      </c>
      <c r="B19" t="s">
        <v>90</v>
      </c>
      <c r="C19">
        <v>2</v>
      </c>
      <c r="D19" t="s">
        <v>110</v>
      </c>
      <c r="E19">
        <v>0</v>
      </c>
      <c r="F19">
        <v>97.723817851617682</v>
      </c>
    </row>
    <row r="20" spans="1:10" x14ac:dyDescent="0.35">
      <c r="A20" t="s">
        <v>26</v>
      </c>
      <c r="B20" t="s">
        <v>91</v>
      </c>
      <c r="C20">
        <v>385</v>
      </c>
      <c r="D20" t="s">
        <v>111</v>
      </c>
      <c r="E20">
        <v>10.15537768211475</v>
      </c>
      <c r="G20">
        <v>359935.31556194392</v>
      </c>
      <c r="H20">
        <v>8000</v>
      </c>
      <c r="I20">
        <v>16508000</v>
      </c>
      <c r="J20">
        <v>-4.886412718512826E-2</v>
      </c>
    </row>
    <row r="21" spans="1:10" x14ac:dyDescent="0.35">
      <c r="A21" t="s">
        <v>27</v>
      </c>
      <c r="B21" t="s">
        <v>90</v>
      </c>
      <c r="C21">
        <v>2</v>
      </c>
      <c r="D21" t="s">
        <v>112</v>
      </c>
      <c r="E21">
        <v>0</v>
      </c>
      <c r="F21">
        <v>99.97780318826932</v>
      </c>
    </row>
    <row r="22" spans="1:10" x14ac:dyDescent="0.35">
      <c r="A22" t="s">
        <v>28</v>
      </c>
      <c r="B22" t="s">
        <v>90</v>
      </c>
      <c r="C22">
        <v>3</v>
      </c>
      <c r="D22" t="s">
        <v>113</v>
      </c>
      <c r="E22">
        <v>0</v>
      </c>
      <c r="F22">
        <v>92.958229636106822</v>
      </c>
    </row>
    <row r="23" spans="1:10" x14ac:dyDescent="0.35">
      <c r="A23" t="s">
        <v>29</v>
      </c>
      <c r="B23" t="s">
        <v>90</v>
      </c>
      <c r="C23">
        <v>2</v>
      </c>
      <c r="D23" t="s">
        <v>114</v>
      </c>
      <c r="E23">
        <v>0</v>
      </c>
      <c r="F23">
        <v>99.97780318826932</v>
      </c>
    </row>
    <row r="24" spans="1:10" x14ac:dyDescent="0.35">
      <c r="A24" t="s">
        <v>30</v>
      </c>
      <c r="B24" t="s">
        <v>90</v>
      </c>
      <c r="C24">
        <v>4</v>
      </c>
      <c r="D24" t="s">
        <v>115</v>
      </c>
      <c r="E24">
        <v>0</v>
      </c>
      <c r="F24">
        <v>98.526938857873134</v>
      </c>
    </row>
    <row r="25" spans="1:10" x14ac:dyDescent="0.35">
      <c r="A25" t="s">
        <v>31</v>
      </c>
      <c r="B25" t="s">
        <v>91</v>
      </c>
      <c r="C25">
        <v>1001</v>
      </c>
      <c r="D25" t="s">
        <v>116</v>
      </c>
      <c r="E25">
        <v>6.1545705253245444</v>
      </c>
      <c r="G25">
        <v>6496.5863822202537</v>
      </c>
      <c r="H25">
        <v>0</v>
      </c>
      <c r="I25">
        <v>578580</v>
      </c>
      <c r="J25">
        <v>-6.5118969608288974E-2</v>
      </c>
    </row>
    <row r="26" spans="1:10" x14ac:dyDescent="0.35">
      <c r="A26" t="s">
        <v>32</v>
      </c>
      <c r="B26" t="s">
        <v>90</v>
      </c>
      <c r="C26">
        <v>4</v>
      </c>
      <c r="D26" t="s">
        <v>117</v>
      </c>
      <c r="E26">
        <v>0</v>
      </c>
      <c r="F26">
        <v>32.388511468352718</v>
      </c>
    </row>
    <row r="27" spans="1:10" x14ac:dyDescent="0.35">
      <c r="A27" t="s">
        <v>33</v>
      </c>
      <c r="B27" t="s">
        <v>89</v>
      </c>
      <c r="C27">
        <v>401</v>
      </c>
      <c r="D27" t="s">
        <v>118</v>
      </c>
      <c r="E27">
        <v>0</v>
      </c>
      <c r="G27">
        <v>115.87585660446859</v>
      </c>
      <c r="H27">
        <v>500</v>
      </c>
      <c r="I27">
        <v>900</v>
      </c>
      <c r="J27">
        <v>4.0036935955881266E-3</v>
      </c>
    </row>
    <row r="28" spans="1:10" x14ac:dyDescent="0.35">
      <c r="A28" t="s">
        <v>34</v>
      </c>
      <c r="B28" t="s">
        <v>90</v>
      </c>
      <c r="C28">
        <v>2</v>
      </c>
      <c r="D28" t="s">
        <v>119</v>
      </c>
      <c r="E28">
        <v>0</v>
      </c>
      <c r="F28">
        <v>50.038339947534801</v>
      </c>
    </row>
    <row r="29" spans="1:10" x14ac:dyDescent="0.35">
      <c r="A29" t="s">
        <v>35</v>
      </c>
      <c r="B29" t="s">
        <v>90</v>
      </c>
      <c r="C29">
        <v>7</v>
      </c>
      <c r="D29" t="s">
        <v>120</v>
      </c>
      <c r="E29">
        <v>0.13452613170108291</v>
      </c>
      <c r="F29">
        <v>23.385195662423381</v>
      </c>
    </row>
    <row r="30" spans="1:10" x14ac:dyDescent="0.35">
      <c r="A30" t="s">
        <v>36</v>
      </c>
      <c r="B30" t="s">
        <v>90</v>
      </c>
      <c r="C30">
        <v>2</v>
      </c>
      <c r="D30" t="s">
        <v>121</v>
      </c>
      <c r="E30">
        <v>0.13452613170108291</v>
      </c>
      <c r="F30">
        <v>64.534249343301681</v>
      </c>
    </row>
    <row r="31" spans="1:10" x14ac:dyDescent="0.35">
      <c r="A31" t="s">
        <v>37</v>
      </c>
      <c r="B31" t="s">
        <v>91</v>
      </c>
      <c r="C31">
        <v>8484</v>
      </c>
      <c r="D31" t="s">
        <v>122</v>
      </c>
      <c r="E31">
        <v>10.15537768211475</v>
      </c>
      <c r="G31">
        <v>39.967602983032251</v>
      </c>
      <c r="H31">
        <v>0.96747819800000001</v>
      </c>
      <c r="I31">
        <v>7831.25</v>
      </c>
      <c r="J31">
        <v>3.8895466172237873E-2</v>
      </c>
    </row>
    <row r="32" spans="1:10" x14ac:dyDescent="0.35">
      <c r="A32" t="s">
        <v>38</v>
      </c>
      <c r="B32" t="s">
        <v>90</v>
      </c>
      <c r="C32">
        <v>4</v>
      </c>
      <c r="D32" t="s">
        <v>123</v>
      </c>
      <c r="E32">
        <v>0</v>
      </c>
      <c r="F32">
        <v>50.260308064841603</v>
      </c>
    </row>
    <row r="33" spans="1:10" x14ac:dyDescent="0.35">
      <c r="A33" t="s">
        <v>39</v>
      </c>
      <c r="B33" t="s">
        <v>90</v>
      </c>
      <c r="C33">
        <v>2</v>
      </c>
      <c r="D33" t="s">
        <v>124</v>
      </c>
      <c r="E33">
        <v>0</v>
      </c>
      <c r="F33">
        <v>99.97780318826932</v>
      </c>
    </row>
    <row r="34" spans="1:10" x14ac:dyDescent="0.35">
      <c r="A34" t="s">
        <v>40</v>
      </c>
      <c r="B34" t="s">
        <v>89</v>
      </c>
      <c r="C34">
        <v>2</v>
      </c>
      <c r="D34" t="s">
        <v>125</v>
      </c>
      <c r="E34">
        <v>0</v>
      </c>
      <c r="G34">
        <v>0.43094220686213142</v>
      </c>
      <c r="H34">
        <v>0</v>
      </c>
      <c r="I34">
        <v>1</v>
      </c>
      <c r="J34">
        <v>1</v>
      </c>
    </row>
    <row r="35" spans="1:10" x14ac:dyDescent="0.35">
      <c r="A35" t="s">
        <v>42</v>
      </c>
      <c r="B35" t="s">
        <v>91</v>
      </c>
      <c r="C35">
        <v>57</v>
      </c>
      <c r="D35" t="s">
        <v>126</v>
      </c>
      <c r="E35">
        <v>16.22452411380911</v>
      </c>
      <c r="G35">
        <v>10.54543492987368</v>
      </c>
      <c r="H35">
        <v>5</v>
      </c>
      <c r="I35">
        <v>61</v>
      </c>
      <c r="J35">
        <v>7.8083066052822739E-2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DS1-Loan_Default</vt:lpstr>
      <vt:lpstr>Plan</vt:lpstr>
      <vt:lpstr>Py 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L</dc:creator>
  <cp:lastModifiedBy>Andre L</cp:lastModifiedBy>
  <dcterms:created xsi:type="dcterms:W3CDTF">2026-03-29T18:53:08Z</dcterms:created>
  <dcterms:modified xsi:type="dcterms:W3CDTF">2026-03-30T02:53:05Z</dcterms:modified>
</cp:coreProperties>
</file>